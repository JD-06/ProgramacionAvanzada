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\Downloads\"/>
    </mc:Choice>
  </mc:AlternateContent>
  <xr:revisionPtr revIDLastSave="0" documentId="13_ncr:1_{25157A15-C27F-418B-9D7D-0E83013F89EA}" xr6:coauthVersionLast="47" xr6:coauthVersionMax="47" xr10:uidLastSave="{00000000-0000-0000-0000-000000000000}"/>
  <bookViews>
    <workbookView xWindow="4932" yWindow="1284" windowWidth="17280" windowHeight="9960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3" l="1"/>
  <c r="G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C12" i="4"/>
  <c r="C11" i="4"/>
  <c r="C10" i="4"/>
  <c r="C9" i="4"/>
  <c r="C8" i="4"/>
  <c r="C7" i="4"/>
  <c r="C6" i="4"/>
  <c r="F5" i="4"/>
  <c r="C5" i="4"/>
  <c r="C4" i="4"/>
  <c r="C3" i="4"/>
  <c r="C2" i="4"/>
  <c r="C2" i="3"/>
  <c r="C3" i="3"/>
  <c r="C5" i="3"/>
  <c r="F5" i="3"/>
  <c r="C6" i="3"/>
  <c r="C7" i="3"/>
  <c r="C8" i="3"/>
  <c r="C9" i="3"/>
  <c r="C10" i="3"/>
  <c r="C11" i="3"/>
</calcChain>
</file>

<file path=xl/sharedStrings.xml><?xml version="1.0" encoding="utf-8"?>
<sst xmlns="http://schemas.openxmlformats.org/spreadsheetml/2006/main" count="64" uniqueCount="44">
  <si>
    <t>RUBRICA DE EVALUACIÓN DEL ATRIBUTO DE EGRESO</t>
  </si>
  <si>
    <t>Programa educativo:</t>
  </si>
  <si>
    <t>Ing. Sistemas Computacionales</t>
  </si>
  <si>
    <t>Periodo:</t>
  </si>
  <si>
    <t>Asignatura:</t>
  </si>
  <si>
    <t>Docente:</t>
  </si>
  <si>
    <t>Actividad:</t>
  </si>
  <si>
    <t>Nivel de Atributo</t>
  </si>
  <si>
    <t>Atributo de egreso</t>
  </si>
  <si>
    <t>Criterio de desempeño</t>
  </si>
  <si>
    <t>Indicador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</si>
  <si>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</si>
  <si>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</si>
  <si>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</si>
  <si>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</si>
  <si>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</si>
  <si>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</si>
  <si>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</si>
  <si>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</si>
  <si>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</si>
  <si>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</si>
  <si>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6-0</t>
  </si>
  <si>
    <t>No Alcanza</t>
  </si>
  <si>
    <t>8-7</t>
  </si>
  <si>
    <t>Regular</t>
  </si>
  <si>
    <t>Bueno</t>
  </si>
  <si>
    <t>Excelente</t>
  </si>
  <si>
    <t>Calificación</t>
  </si>
  <si>
    <t>Nivel de desempeño</t>
  </si>
  <si>
    <t>Calificacion</t>
  </si>
  <si>
    <t>Observaciones</t>
  </si>
  <si>
    <t>Cal.</t>
  </si>
  <si>
    <t>Criterio de evaluación</t>
  </si>
  <si>
    <t>G</t>
  </si>
  <si>
    <t>Grupo</t>
  </si>
  <si>
    <t>INSTRUMENTO DE EVALUACIÓN DEL PRODUCTO INTEGRADOR</t>
  </si>
  <si>
    <t>LISTA DE COTEJO DE EVALUACIÓN DEL PRODUCTO INTEGRADOR</t>
  </si>
  <si>
    <t>g</t>
  </si>
  <si>
    <t>Nivel del Atributo</t>
  </si>
  <si>
    <t>Producto Integrador</t>
  </si>
  <si>
    <t>Indicadores</t>
  </si>
  <si>
    <t>Alumno</t>
  </si>
  <si>
    <t>Escala de evaluación</t>
  </si>
  <si>
    <t>PROMEDIO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</si>
</sst>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1" fillId="2" borderId="0" xfId="1" applyFill="1"/>
    <xf numFmtId="0" fontId="1" fillId="2" borderId="0" xfId="1" applyFill="1" applyAlignment="1">
      <alignment vertical="center" wrapText="1"/>
    </xf>
    <xf numFmtId="0" fontId="8" fillId="0" borderId="11" xfId="0" applyFont="1" applyBorder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49" fontId="10" fillId="0" borderId="0" xfId="0" applyNumberFormat="1" applyFont="1"/>
    <xf numFmtId="0" fontId="10" fillId="0" borderId="0" xfId="0" applyFont="1"/>
    <xf numFmtId="49" fontId="0" fillId="0" borderId="0" xfId="0" applyNumberFormat="1"/>
    <xf numFmtId="0" fontId="1" fillId="0" borderId="0" xfId="1"/>
    <xf numFmtId="0" fontId="1" fillId="2" borderId="14" xfId="1" applyFill="1" applyBorder="1" applyAlignment="1">
      <alignment horizontal="center"/>
    </xf>
    <xf numFmtId="49" fontId="1" fillId="2" borderId="14" xfId="1" applyNumberFormat="1" applyFill="1" applyBorder="1" applyAlignment="1">
      <alignment horizontal="center"/>
    </xf>
    <xf numFmtId="0" fontId="1" fillId="5" borderId="14" xfId="1" applyFill="1" applyBorder="1" applyAlignment="1">
      <alignment horizontal="center"/>
    </xf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4" borderId="5" xfId="1" applyFill="1" applyBorder="1"/>
    <xf numFmtId="49" fontId="1" fillId="4" borderId="5" xfId="1" applyNumberFormat="1" applyFill="1" applyBorder="1"/>
    <xf numFmtId="0" fontId="3" fillId="0" borderId="5" xfId="1" applyFont="1" applyBorder="1"/>
    <xf numFmtId="0" fontId="1" fillId="2" borderId="5" xfId="1" applyFill="1" applyBorder="1"/>
    <xf numFmtId="0" fontId="1" fillId="0" borderId="14" xfId="1" applyBorder="1"/>
    <xf numFmtId="0" fontId="1" fillId="6" borderId="14" xfId="1" applyFill="1" applyBorder="1"/>
    <xf numFmtId="49" fontId="1" fillId="4" borderId="0" xfId="1" applyNumberFormat="1" applyFill="1"/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1" fillId="0" borderId="11" xfId="1" applyBorder="1" applyAlignment="1">
      <alignment horizontal="left"/>
    </xf>
    <xf numFmtId="0" fontId="12" fillId="4" borderId="5" xfId="1" applyFont="1" applyFill="1" applyBorder="1" applyAlignment="1">
      <alignment horizontal="justify" vertical="justify"/>
    </xf>
    <xf numFmtId="49" fontId="1" fillId="4" borderId="5" xfId="1" applyNumberFormat="1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3" fillId="2" borderId="0" xfId="1" applyFont="1" applyFill="1" applyAlignment="1">
      <alignment horizontal="right"/>
    </xf>
    <xf numFmtId="49" fontId="1" fillId="4" borderId="5" xfId="1" applyNumberFormat="1" applyFill="1" applyBorder="1" applyAlignment="1">
      <alignment horizontal="center"/>
    </xf>
    <xf numFmtId="0" fontId="3" fillId="3" borderId="14" xfId="1" applyFont="1" applyFill="1" applyBorder="1" applyAlignment="1">
      <alignment horizontal="left" vertical="center" wrapText="1"/>
    </xf>
    <xf numFmtId="0" fontId="1" fillId="4" borderId="14" xfId="1" applyFill="1" applyBorder="1" applyAlignment="1">
      <alignment horizontal="justify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" fillId="0" borderId="6" xfId="1" applyBorder="1" applyAlignment="1">
      <alignment horizontal="justify" vertical="justify" wrapText="1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1" fillId="0" borderId="1" xfId="1" applyFont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" fillId="0" borderId="3" xfId="1" applyBorder="1" applyAlignment="1">
      <alignment horizontal="justify" vertical="justify" wrapText="1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10" fillId="0" borderId="11" xfId="0" applyFont="1" applyBorder="1" applyAlignment="1">
      <alignment horizont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0" xfId="1" applyFont="1" applyFill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7" borderId="14" xfId="1" applyFont="1" applyFill="1" applyBorder="1" applyAlignment="1">
      <alignment horizontal="left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3" fillId="7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3" fillId="7" borderId="7" xfId="1" applyFont="1" applyFill="1" applyBorder="1" applyAlignment="1">
      <alignment horizontal="center" vertical="center" wrapText="1"/>
    </xf>
    <xf numFmtId="0" fontId="3" fillId="7" borderId="8" xfId="1" applyFont="1" applyFill="1" applyBorder="1" applyAlignment="1">
      <alignment horizontal="center"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2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/>
    </xf>
    <xf numFmtId="0" fontId="12" fillId="4" borderId="5" xfId="1" applyFont="1" applyFill="1" applyBorder="1" applyAlignment="1">
      <alignment horizontal="justify" vertical="justify" wrapText="1"/>
    </xf>
    <xf numFmtId="49" fontId="1" fillId="0" borderId="0" xfId="1" applyNumberFormat="1" applyAlignment="1">
      <alignment horizont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calvar/Downloads/Atributos_Medio__2025_1.xlsx" TargetMode="External"/><Relationship Id="rId2" Type="http://schemas.openxmlformats.org/officeDocument/2006/relationships/externalLinkPath" Target="file:///C:\Users\ccalvar\Downloads\Atributos_Medio__2025_1.xlsx" TargetMode="External"/><Relationship Id="rId1" Type="http://schemas.openxmlformats.org/officeDocument/2006/relationships/externalLinkPath" Target="/Users/ccalvar/Downloads/Atributos_Medio__2025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>
        <row r="5">
          <cell r="E5" t="str">
            <v>Ing. Sistemas Computacionales</v>
          </cell>
        </row>
      </sheetData>
      <sheetData sheetId="1"/>
      <sheetData sheetId="2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/>
      <sheetData sheetId="4">
        <row r="8">
          <cell r="C8" t="str">
            <v xml:space="preserve"> </v>
          </cell>
        </row>
        <row r="9">
          <cell r="C9" t="str">
            <v xml:space="preserve"> </v>
          </cell>
        </row>
        <row r="10">
          <cell r="C10" t="str">
            <v xml:space="preserve"> </v>
          </cell>
        </row>
        <row r="11">
          <cell r="C11" t="str">
            <v xml:space="preserve"> </v>
          </cell>
        </row>
      </sheetData>
      <sheetData sheetId="5"/>
      <sheetData sheetId="6"/>
      <sheetData sheetId="7"/>
      <sheetData sheetId="8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/>
      <sheetData sheetId="10">
        <row r="2">
          <cell r="C2" t="e">
            <v>#VALUE!</v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 t="str">
            <v/>
          </cell>
        </row>
        <row r="19">
          <cell r="C19" t="str">
            <v/>
          </cell>
        </row>
        <row r="20">
          <cell r="C20" t="str">
            <v/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 t="str">
            <v/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 t="str">
            <v/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 t="str">
            <v/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30"/>
  <sheetViews>
    <sheetView tabSelected="1" topLeftCell="A13" zoomScaleNormal="100" workbookViewId="0">
      <selection activeCell="F25" sqref="F25"/>
    </sheetView>
  </sheetViews>
  <sheetFormatPr defaultColWidth="11.44140625" defaultRowHeight="15.6" x14ac:dyDescent="0.3"/>
  <cols>
    <col min="1" max="1" width="6.109375" style="10" customWidth="1"/>
    <col min="2" max="2" width="16.109375" style="10" customWidth="1"/>
    <col min="3" max="3" width="33.5546875" style="10" customWidth="1"/>
    <col min="4" max="4" width="21.109375" style="10" customWidth="1"/>
    <col min="5" max="6" width="9" style="10" customWidth="1"/>
    <col min="7" max="7" width="33.88671875" style="10" customWidth="1"/>
    <col min="8" max="16384" width="11.44140625" style="10"/>
  </cols>
  <sheetData>
    <row r="1" spans="1:7" ht="60.75" customHeight="1" x14ac:dyDescent="0.3">
      <c r="A1" s="27" t="s">
        <v>35</v>
      </c>
      <c r="B1" s="27"/>
      <c r="C1" s="27"/>
      <c r="D1" s="27"/>
      <c r="E1" s="27"/>
      <c r="F1" s="27"/>
      <c r="G1" s="27"/>
    </row>
    <row r="2" spans="1:7" x14ac:dyDescent="0.3">
      <c r="A2" s="28" t="s">
        <v>1</v>
      </c>
      <c r="B2" s="28"/>
      <c r="C2" s="29" t="str">
        <f>[1]RubricaProducto!E5</f>
        <v>Ing. Sistemas Computacionales</v>
      </c>
      <c r="D2" s="29"/>
      <c r="E2" s="29"/>
      <c r="F2" s="29"/>
      <c r="G2" s="29"/>
    </row>
    <row r="3" spans="1:7" ht="27.75" customHeight="1" x14ac:dyDescent="0.3">
      <c r="A3" s="28" t="s">
        <v>4</v>
      </c>
      <c r="B3" s="28"/>
      <c r="C3" s="30">
        <f>[1]RubricaProducto!E6</f>
        <v>0</v>
      </c>
      <c r="D3" s="30"/>
      <c r="E3" s="30"/>
      <c r="F3" s="22" t="s">
        <v>34</v>
      </c>
      <c r="G3" s="21" t="s">
        <v>33</v>
      </c>
    </row>
    <row r="4" spans="1:7" x14ac:dyDescent="0.3">
      <c r="A4" s="28" t="s">
        <v>5</v>
      </c>
      <c r="B4" s="28"/>
      <c r="C4" s="31"/>
      <c r="D4" s="32"/>
      <c r="E4" s="32"/>
      <c r="F4" s="32"/>
      <c r="G4" s="32"/>
    </row>
    <row r="5" spans="1:7" x14ac:dyDescent="0.3">
      <c r="A5" s="28" t="s">
        <v>3</v>
      </c>
      <c r="B5" s="28"/>
      <c r="C5" s="20">
        <f>[1]RubricaProducto!M5</f>
        <v>0</v>
      </c>
      <c r="D5" s="33" t="s">
        <v>6</v>
      </c>
      <c r="E5" s="33"/>
      <c r="F5" s="34">
        <f>[1]RubricaProducto!E8</f>
        <v>0</v>
      </c>
      <c r="G5" s="34"/>
    </row>
    <row r="6" spans="1:7" ht="32.1" customHeight="1" x14ac:dyDescent="0.3">
      <c r="A6" s="35" t="s">
        <v>8</v>
      </c>
      <c r="B6" s="35"/>
      <c r="C6" s="36">
        <f>[1]RubricaProducto!E9</f>
        <v>0</v>
      </c>
      <c r="D6" s="36"/>
      <c r="E6" s="36"/>
      <c r="F6" s="36"/>
      <c r="G6" s="36"/>
    </row>
    <row r="7" spans="1:7" ht="32.1" customHeight="1" x14ac:dyDescent="0.3">
      <c r="A7" s="35" t="s">
        <v>9</v>
      </c>
      <c r="B7" s="35"/>
      <c r="C7" s="37">
        <f>[1]RubricaProducto!E10</f>
        <v>0</v>
      </c>
      <c r="D7" s="37"/>
      <c r="E7" s="37"/>
      <c r="F7" s="37"/>
      <c r="G7" s="37"/>
    </row>
    <row r="8" spans="1:7" ht="30.75" customHeight="1" x14ac:dyDescent="0.3">
      <c r="A8" s="38" t="s">
        <v>10</v>
      </c>
      <c r="B8" s="39"/>
      <c r="C8" s="36" t="str">
        <f xml:space="preserve"> IF(  ISBLANK([1]RubricaProducto!E11), " ", [1]RubricaProducto!E11)</f>
        <v xml:space="preserve"> </v>
      </c>
      <c r="D8" s="36"/>
      <c r="E8" s="36"/>
      <c r="F8" s="36"/>
      <c r="G8" s="36"/>
    </row>
    <row r="9" spans="1:7" ht="15.9" customHeight="1" x14ac:dyDescent="0.3">
      <c r="A9" s="40"/>
      <c r="B9" s="41"/>
      <c r="C9" s="36" t="str">
        <f xml:space="preserve"> IF(  ISBLANK([1]RubricaProducto!E12), " ", [1]RubricaProducto!E12)</f>
        <v xml:space="preserve"> </v>
      </c>
      <c r="D9" s="36"/>
      <c r="E9" s="36"/>
      <c r="F9" s="36"/>
      <c r="G9" s="36"/>
    </row>
    <row r="10" spans="1:7" ht="15.9" customHeight="1" x14ac:dyDescent="0.3">
      <c r="A10" s="40"/>
      <c r="B10" s="41"/>
      <c r="C10" s="36" t="str">
        <f xml:space="preserve"> IF(  ISBLANK([1]RubricaProducto!E13), " ", [1]RubricaProducto!E13)</f>
        <v xml:space="preserve"> </v>
      </c>
      <c r="D10" s="36"/>
      <c r="E10" s="36"/>
      <c r="F10" s="36"/>
      <c r="G10" s="36"/>
    </row>
    <row r="11" spans="1:7" ht="15.9" customHeight="1" x14ac:dyDescent="0.3">
      <c r="A11" s="42"/>
      <c r="B11" s="43"/>
      <c r="C11" s="36" t="str">
        <f xml:space="preserve"> IF(  ISBLANK([1]RubricaProducto!E14), " ", [1]RubricaProducto!E14)</f>
        <v xml:space="preserve"> </v>
      </c>
      <c r="D11" s="36"/>
      <c r="E11" s="36"/>
      <c r="F11" s="36"/>
      <c r="G11" s="36"/>
    </row>
    <row r="12" spans="1:7" ht="15.9" customHeight="1" x14ac:dyDescent="0.3">
      <c r="A12" s="44"/>
      <c r="B12" s="45"/>
      <c r="C12" s="45"/>
      <c r="D12" s="45"/>
      <c r="E12" s="45"/>
      <c r="F12" s="45"/>
      <c r="G12" s="46"/>
    </row>
    <row r="13" spans="1:7" ht="15.9" customHeight="1" x14ac:dyDescent="0.3">
      <c r="A13" s="44"/>
      <c r="B13" s="45"/>
      <c r="C13" s="45"/>
      <c r="D13" s="45"/>
      <c r="E13" s="45"/>
      <c r="F13" s="45"/>
      <c r="G13" s="46"/>
    </row>
    <row r="14" spans="1:7" ht="15.9" customHeight="1" x14ac:dyDescent="0.3">
      <c r="A14" s="44"/>
      <c r="B14" s="45"/>
      <c r="C14" s="45"/>
      <c r="D14" s="45"/>
      <c r="E14" s="45"/>
      <c r="F14" s="45"/>
      <c r="G14" s="46"/>
    </row>
    <row r="15" spans="1:7" ht="15.9" customHeight="1" x14ac:dyDescent="0.3">
      <c r="A15" s="44"/>
      <c r="B15" s="45"/>
      <c r="C15" s="45"/>
      <c r="D15" s="45"/>
      <c r="E15" s="45"/>
      <c r="F15" s="45"/>
      <c r="G15" s="46"/>
    </row>
    <row r="16" spans="1:7" ht="15.9" customHeight="1" x14ac:dyDescent="0.3">
      <c r="A16" s="44"/>
      <c r="B16" s="45"/>
      <c r="C16" s="45"/>
      <c r="D16" s="45"/>
      <c r="E16" s="45"/>
      <c r="F16" s="45"/>
      <c r="G16" s="46"/>
    </row>
    <row r="17" spans="1:7" ht="17.100000000000001" customHeight="1" x14ac:dyDescent="0.3">
      <c r="A17" s="50" t="s">
        <v>32</v>
      </c>
      <c r="B17" s="51"/>
      <c r="C17" s="51"/>
      <c r="D17" s="51"/>
      <c r="E17" s="52"/>
      <c r="F17" s="19" t="s">
        <v>31</v>
      </c>
      <c r="G17" s="16" t="s">
        <v>30</v>
      </c>
    </row>
    <row r="18" spans="1:7" ht="36" customHeight="1" x14ac:dyDescent="0.3">
      <c r="A18" s="18">
        <v>1</v>
      </c>
      <c r="B18" s="53"/>
      <c r="C18" s="54"/>
      <c r="D18" s="54"/>
      <c r="E18" s="55"/>
      <c r="F18" s="17"/>
      <c r="G18" s="16"/>
    </row>
    <row r="19" spans="1:7" ht="50.1" customHeight="1" x14ac:dyDescent="0.3">
      <c r="A19" s="18">
        <v>2</v>
      </c>
      <c r="B19" s="53"/>
      <c r="C19" s="54"/>
      <c r="D19" s="54"/>
      <c r="E19" s="55"/>
      <c r="F19" s="17"/>
      <c r="G19" s="16"/>
    </row>
    <row r="20" spans="1:7" ht="50.1" customHeight="1" x14ac:dyDescent="0.3">
      <c r="A20" s="18">
        <v>3</v>
      </c>
      <c r="B20" s="53"/>
      <c r="C20" s="54"/>
      <c r="D20" s="54"/>
      <c r="E20" s="55"/>
      <c r="F20" s="17"/>
      <c r="G20" s="16"/>
    </row>
    <row r="21" spans="1:7" ht="36" customHeight="1" x14ac:dyDescent="0.3">
      <c r="A21" s="18">
        <v>4</v>
      </c>
      <c r="B21" s="59"/>
      <c r="C21" s="60"/>
      <c r="D21" s="60"/>
      <c r="E21" s="61"/>
      <c r="F21" s="17"/>
      <c r="G21" s="16"/>
    </row>
    <row r="22" spans="1:7" ht="36" customHeight="1" x14ac:dyDescent="0.3">
      <c r="A22" s="18">
        <v>5</v>
      </c>
      <c r="B22" s="59"/>
      <c r="C22" s="60"/>
      <c r="D22" s="60"/>
      <c r="E22" s="61"/>
      <c r="F22" s="17"/>
      <c r="G22" s="16"/>
    </row>
    <row r="23" spans="1:7" ht="36" customHeight="1" x14ac:dyDescent="0.3">
      <c r="A23" s="18">
        <v>6</v>
      </c>
      <c r="B23" s="59"/>
      <c r="C23" s="60"/>
      <c r="D23" s="60"/>
      <c r="E23" s="61"/>
      <c r="F23" s="17"/>
      <c r="G23" s="16"/>
    </row>
    <row r="24" spans="1:7" ht="36" customHeight="1" x14ac:dyDescent="0.3">
      <c r="A24" s="47" t="s">
        <v>29</v>
      </c>
      <c r="B24" s="48"/>
      <c r="C24" s="48"/>
      <c r="D24" s="48"/>
      <c r="E24" s="49"/>
      <c r="F24" s="15" t="e">
        <f>AVERAGE(F18:F23)</f>
        <v>#DIV/0!</v>
      </c>
      <c r="G24" s="14"/>
    </row>
    <row r="25" spans="1:7" x14ac:dyDescent="0.3">
      <c r="A25" s="1"/>
      <c r="B25" s="1"/>
      <c r="C25" s="1"/>
      <c r="D25" s="1"/>
      <c r="E25" s="1"/>
      <c r="F25" s="1"/>
      <c r="G25" s="1"/>
    </row>
    <row r="26" spans="1:7" x14ac:dyDescent="0.3">
      <c r="A26" s="56" t="s">
        <v>28</v>
      </c>
      <c r="B26" s="57"/>
      <c r="C26" s="57"/>
      <c r="D26" s="57"/>
      <c r="E26" s="57"/>
      <c r="F26" s="58"/>
      <c r="G26" s="11" t="s">
        <v>27</v>
      </c>
    </row>
    <row r="27" spans="1:7" ht="17.25" customHeight="1" x14ac:dyDescent="0.3">
      <c r="A27" s="56" t="s">
        <v>26</v>
      </c>
      <c r="B27" s="57"/>
      <c r="C27" s="57"/>
      <c r="D27" s="57"/>
      <c r="E27" s="57"/>
      <c r="F27" s="58"/>
      <c r="G27" s="11">
        <v>10</v>
      </c>
    </row>
    <row r="28" spans="1:7" x14ac:dyDescent="0.3">
      <c r="A28" s="56" t="s">
        <v>25</v>
      </c>
      <c r="B28" s="57"/>
      <c r="C28" s="57"/>
      <c r="D28" s="57"/>
      <c r="E28" s="57"/>
      <c r="F28" s="58"/>
      <c r="G28" s="13">
        <v>9</v>
      </c>
    </row>
    <row r="29" spans="1:7" x14ac:dyDescent="0.3">
      <c r="A29" s="56" t="s">
        <v>24</v>
      </c>
      <c r="B29" s="57"/>
      <c r="C29" s="57"/>
      <c r="D29" s="57"/>
      <c r="E29" s="57"/>
      <c r="F29" s="58"/>
      <c r="G29" s="12" t="s">
        <v>23</v>
      </c>
    </row>
    <row r="30" spans="1:7" x14ac:dyDescent="0.3">
      <c r="A30" s="56" t="s">
        <v>22</v>
      </c>
      <c r="B30" s="57"/>
      <c r="C30" s="57"/>
      <c r="D30" s="57"/>
      <c r="E30" s="57"/>
      <c r="F30" s="58"/>
      <c r="G30" s="11" t="s">
        <v>21</v>
      </c>
    </row>
  </sheetData>
  <mergeCells count="37">
    <mergeCell ref="A26:F26"/>
    <mergeCell ref="A27:F27"/>
    <mergeCell ref="A28:F28"/>
    <mergeCell ref="A29:F29"/>
    <mergeCell ref="A30:F30"/>
    <mergeCell ref="A12:G12"/>
    <mergeCell ref="A24:E24"/>
    <mergeCell ref="A13:G13"/>
    <mergeCell ref="A14:G14"/>
    <mergeCell ref="A15:G15"/>
    <mergeCell ref="A16:G16"/>
    <mergeCell ref="A17:E17"/>
    <mergeCell ref="B18:E18"/>
    <mergeCell ref="B19:E19"/>
    <mergeCell ref="B20:E20"/>
    <mergeCell ref="B21:E21"/>
    <mergeCell ref="B22:E22"/>
    <mergeCell ref="B23:E23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4:B4"/>
    <mergeCell ref="C4:G4"/>
    <mergeCell ref="A5:B5"/>
    <mergeCell ref="D5:E5"/>
    <mergeCell ref="F5:G5"/>
    <mergeCell ref="A1:G1"/>
    <mergeCell ref="A2:B2"/>
    <mergeCell ref="C2:G2"/>
    <mergeCell ref="A3:B3"/>
    <mergeCell ref="C3:E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30"/>
  <sheetViews>
    <sheetView zoomScale="82" zoomScaleNormal="82" workbookViewId="0">
      <selection activeCell="S13" sqref="S13"/>
    </sheetView>
  </sheetViews>
  <sheetFormatPr defaultColWidth="7.5546875" defaultRowHeight="14.4" x14ac:dyDescent="0.3"/>
  <cols>
    <col min="1" max="1" width="3" customWidth="1"/>
    <col min="2" max="2" width="7.5546875" customWidth="1"/>
    <col min="7" max="7" width="11.6640625" customWidth="1"/>
    <col min="8" max="8" width="8.88671875" customWidth="1"/>
    <col min="9" max="9" width="12.109375" customWidth="1"/>
    <col min="10" max="10" width="8.44140625" customWidth="1"/>
    <col min="11" max="11" width="10.88671875" customWidth="1"/>
    <col min="12" max="12" width="8.44140625" customWidth="1"/>
    <col min="13" max="13" width="12.44140625" customWidth="1"/>
  </cols>
  <sheetData>
    <row r="3" spans="1:14" ht="18" x14ac:dyDescent="0.35">
      <c r="A3" s="108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</row>
    <row r="5" spans="1:14" ht="16.2" thickBot="1" x14ac:dyDescent="0.35">
      <c r="A5" s="1"/>
      <c r="B5" s="109" t="s">
        <v>1</v>
      </c>
      <c r="C5" s="110"/>
      <c r="D5" s="111"/>
      <c r="E5" s="112" t="s">
        <v>2</v>
      </c>
      <c r="F5" s="113"/>
      <c r="G5" s="113"/>
      <c r="H5" s="113"/>
      <c r="I5" s="113"/>
      <c r="J5" s="113"/>
      <c r="K5" s="110" t="s">
        <v>3</v>
      </c>
      <c r="L5" s="110"/>
      <c r="M5" s="114"/>
      <c r="N5" s="115"/>
    </row>
    <row r="6" spans="1:14" ht="16.8" thickTop="1" thickBot="1" x14ac:dyDescent="0.35">
      <c r="A6" s="1"/>
      <c r="B6" s="102" t="s">
        <v>4</v>
      </c>
      <c r="C6" s="103"/>
      <c r="D6" s="104"/>
      <c r="E6" s="116"/>
      <c r="F6" s="117"/>
      <c r="G6" s="117"/>
      <c r="H6" s="117"/>
      <c r="I6" s="117"/>
      <c r="J6" s="117"/>
      <c r="K6" s="117"/>
      <c r="L6" s="117"/>
      <c r="M6" s="117"/>
      <c r="N6" s="117"/>
    </row>
    <row r="7" spans="1:14" ht="16.8" thickTop="1" thickBot="1" x14ac:dyDescent="0.35">
      <c r="A7" s="1"/>
      <c r="B7" s="96" t="s">
        <v>5</v>
      </c>
      <c r="C7" s="97"/>
      <c r="D7" s="98"/>
      <c r="E7" s="99"/>
      <c r="F7" s="100"/>
      <c r="G7" s="100"/>
      <c r="H7" s="100"/>
      <c r="I7" s="100"/>
      <c r="J7" s="100"/>
      <c r="K7" s="100"/>
      <c r="L7" s="100"/>
      <c r="M7" s="100"/>
      <c r="N7" s="101"/>
    </row>
    <row r="8" spans="1:14" ht="16.2" thickTop="1" x14ac:dyDescent="0.3">
      <c r="A8" s="1"/>
      <c r="B8" s="102" t="s">
        <v>6</v>
      </c>
      <c r="C8" s="103"/>
      <c r="D8" s="104"/>
      <c r="E8" s="105"/>
      <c r="F8" s="106"/>
      <c r="G8" s="106"/>
      <c r="H8" s="106"/>
      <c r="I8" s="106"/>
      <c r="J8" s="107" t="s">
        <v>7</v>
      </c>
      <c r="K8" s="107"/>
      <c r="L8" s="106"/>
      <c r="M8" s="106"/>
      <c r="N8" s="106"/>
    </row>
    <row r="9" spans="1:14" ht="45.75" customHeight="1" x14ac:dyDescent="0.3">
      <c r="A9" s="2"/>
      <c r="B9" s="75" t="s">
        <v>8</v>
      </c>
      <c r="C9" s="76"/>
      <c r="D9" s="77"/>
      <c r="E9" s="78"/>
      <c r="F9" s="79"/>
      <c r="G9" s="79"/>
      <c r="H9" s="79"/>
      <c r="I9" s="79"/>
      <c r="J9" s="79"/>
      <c r="K9" s="79"/>
      <c r="L9" s="79"/>
      <c r="M9" s="79"/>
      <c r="N9" s="80"/>
    </row>
    <row r="10" spans="1:14" ht="39.75" customHeight="1" x14ac:dyDescent="0.3">
      <c r="A10" s="2"/>
      <c r="B10" s="81" t="s">
        <v>9</v>
      </c>
      <c r="C10" s="82"/>
      <c r="D10" s="83"/>
      <c r="E10" s="84"/>
      <c r="F10" s="85"/>
      <c r="G10" s="85"/>
      <c r="H10" s="85"/>
      <c r="I10" s="85"/>
      <c r="J10" s="85"/>
      <c r="K10" s="85"/>
      <c r="L10" s="85"/>
      <c r="M10" s="85"/>
      <c r="N10" s="86"/>
    </row>
    <row r="11" spans="1:14" ht="26.25" customHeight="1" x14ac:dyDescent="0.3">
      <c r="A11" s="2"/>
      <c r="B11" s="75" t="s">
        <v>10</v>
      </c>
      <c r="C11" s="76"/>
      <c r="D11" s="77"/>
      <c r="E11" s="90"/>
      <c r="F11" s="91"/>
      <c r="G11" s="91"/>
      <c r="H11" s="91"/>
      <c r="I11" s="91"/>
      <c r="J11" s="91"/>
      <c r="K11" s="91"/>
      <c r="L11" s="91"/>
      <c r="M11" s="91"/>
      <c r="N11" s="92"/>
    </row>
    <row r="12" spans="1:14" ht="30" customHeight="1" x14ac:dyDescent="0.3">
      <c r="B12" s="75"/>
      <c r="C12" s="76"/>
      <c r="D12" s="77"/>
      <c r="E12" s="90"/>
      <c r="F12" s="91"/>
      <c r="G12" s="91"/>
      <c r="H12" s="91"/>
      <c r="I12" s="91"/>
      <c r="J12" s="91"/>
      <c r="K12" s="91"/>
      <c r="L12" s="91"/>
      <c r="M12" s="91"/>
      <c r="N12" s="92"/>
    </row>
    <row r="13" spans="1:14" ht="30" customHeight="1" x14ac:dyDescent="0.3">
      <c r="B13" s="75"/>
      <c r="C13" s="76"/>
      <c r="D13" s="77"/>
      <c r="E13" s="90"/>
      <c r="F13" s="91"/>
      <c r="G13" s="91"/>
      <c r="H13" s="91"/>
      <c r="I13" s="91"/>
      <c r="J13" s="91"/>
      <c r="K13" s="91"/>
      <c r="L13" s="91"/>
      <c r="M13" s="91"/>
      <c r="N13" s="92"/>
    </row>
    <row r="14" spans="1:14" ht="32.25" customHeight="1" x14ac:dyDescent="0.3">
      <c r="B14" s="87"/>
      <c r="C14" s="88"/>
      <c r="D14" s="89"/>
      <c r="E14" s="93"/>
      <c r="F14" s="94"/>
      <c r="G14" s="94"/>
      <c r="H14" s="94"/>
      <c r="I14" s="94"/>
      <c r="J14" s="94"/>
      <c r="K14" s="94"/>
      <c r="L14" s="94"/>
      <c r="M14" s="94"/>
      <c r="N14" s="95"/>
    </row>
    <row r="15" spans="1:14" ht="45.75" customHeight="1" x14ac:dyDescent="0.3">
      <c r="B15" s="70" t="s">
        <v>11</v>
      </c>
      <c r="C15" s="71"/>
      <c r="D15" s="71"/>
      <c r="E15" s="71"/>
      <c r="F15" s="72"/>
      <c r="G15" s="73" t="s">
        <v>12</v>
      </c>
      <c r="H15" s="74"/>
      <c r="I15" s="73" t="s">
        <v>13</v>
      </c>
      <c r="J15" s="74"/>
      <c r="K15" s="73" t="s">
        <v>14</v>
      </c>
      <c r="L15" s="74"/>
      <c r="M15" s="73" t="s">
        <v>15</v>
      </c>
      <c r="N15" s="74"/>
    </row>
    <row r="16" spans="1:14" ht="88.5" customHeight="1" x14ac:dyDescent="0.3">
      <c r="B16" s="64"/>
      <c r="C16" s="65"/>
      <c r="D16" s="65"/>
      <c r="E16" s="65"/>
      <c r="F16" s="66"/>
      <c r="G16" s="67"/>
      <c r="H16" s="68"/>
      <c r="I16" s="67"/>
      <c r="J16" s="68"/>
      <c r="K16" s="67"/>
      <c r="L16" s="68"/>
      <c r="M16" s="67"/>
      <c r="N16" s="68"/>
    </row>
    <row r="17" spans="2:14" ht="88.5" customHeight="1" x14ac:dyDescent="0.3">
      <c r="B17" s="64"/>
      <c r="C17" s="65"/>
      <c r="D17" s="65"/>
      <c r="E17" s="65"/>
      <c r="F17" s="66"/>
      <c r="G17" s="67"/>
      <c r="H17" s="68"/>
      <c r="I17" s="67"/>
      <c r="J17" s="68"/>
      <c r="K17" s="67"/>
      <c r="L17" s="68"/>
      <c r="M17" s="67"/>
      <c r="N17" s="68"/>
    </row>
    <row r="18" spans="2:14" ht="88.5" customHeight="1" x14ac:dyDescent="0.3">
      <c r="B18" s="64"/>
      <c r="C18" s="65"/>
      <c r="D18" s="65"/>
      <c r="E18" s="65"/>
      <c r="F18" s="66"/>
      <c r="G18" s="67"/>
      <c r="H18" s="68"/>
      <c r="I18" s="67"/>
      <c r="J18" s="68"/>
      <c r="K18" s="67"/>
      <c r="L18" s="68"/>
      <c r="M18" s="67"/>
      <c r="N18" s="68"/>
    </row>
    <row r="19" spans="2:14" ht="96" customHeight="1" x14ac:dyDescent="0.3">
      <c r="B19" s="64"/>
      <c r="C19" s="65"/>
      <c r="D19" s="65"/>
      <c r="E19" s="65"/>
      <c r="F19" s="66"/>
      <c r="G19" s="67"/>
      <c r="H19" s="68"/>
      <c r="I19" s="67"/>
      <c r="J19" s="68"/>
      <c r="K19" s="67"/>
      <c r="L19" s="68"/>
      <c r="M19" s="67"/>
      <c r="N19" s="68"/>
    </row>
    <row r="20" spans="2:14" ht="88.5" customHeight="1" x14ac:dyDescent="0.3">
      <c r="B20" s="64"/>
      <c r="C20" s="65"/>
      <c r="D20" s="65"/>
      <c r="E20" s="65"/>
      <c r="F20" s="66"/>
      <c r="G20" s="67"/>
      <c r="H20" s="68"/>
      <c r="I20" s="67"/>
      <c r="J20" s="68"/>
      <c r="K20" s="67"/>
      <c r="L20" s="68"/>
      <c r="M20" s="67"/>
      <c r="N20" s="68"/>
    </row>
    <row r="21" spans="2:14" ht="91.5" customHeight="1" x14ac:dyDescent="0.3">
      <c r="B21" s="64"/>
      <c r="C21" s="65"/>
      <c r="D21" s="65"/>
      <c r="E21" s="65"/>
      <c r="F21" s="66"/>
      <c r="G21" s="67"/>
      <c r="H21" s="68"/>
      <c r="I21" s="67"/>
      <c r="J21" s="68"/>
      <c r="K21" s="67"/>
      <c r="L21" s="68"/>
      <c r="M21" s="67"/>
      <c r="N21" s="68"/>
    </row>
    <row r="22" spans="2:14" ht="12" customHeight="1" x14ac:dyDescent="0.3">
      <c r="B22" s="3"/>
      <c r="C22" s="3"/>
      <c r="D22" s="3"/>
      <c r="E22" s="3"/>
      <c r="F22" s="4"/>
      <c r="G22" s="5"/>
      <c r="H22" s="5"/>
      <c r="I22" s="5"/>
      <c r="J22" s="5"/>
      <c r="K22" s="6"/>
      <c r="L22" s="6"/>
      <c r="M22" s="6"/>
      <c r="N22" s="6"/>
    </row>
    <row r="23" spans="2:14" x14ac:dyDescent="0.3">
      <c r="B23" s="69" t="s">
        <v>16</v>
      </c>
      <c r="C23" s="69"/>
      <c r="D23" s="69"/>
      <c r="E23" s="69"/>
      <c r="G23" s="7" t="s">
        <v>17</v>
      </c>
      <c r="H23" s="8"/>
      <c r="I23" s="8"/>
      <c r="K23" s="69" t="s">
        <v>18</v>
      </c>
      <c r="L23" s="69"/>
      <c r="M23" s="69"/>
      <c r="N23" s="69"/>
    </row>
    <row r="24" spans="2:14" x14ac:dyDescent="0.3">
      <c r="B24" s="62" t="s">
        <v>19</v>
      </c>
      <c r="C24" s="62"/>
      <c r="D24" s="62"/>
      <c r="E24" s="62"/>
      <c r="F24" s="9"/>
      <c r="K24" s="63" t="s">
        <v>20</v>
      </c>
      <c r="L24" s="63"/>
      <c r="M24" s="63"/>
      <c r="N24" s="63"/>
    </row>
    <row r="30" spans="2:14" x14ac:dyDescent="0.3">
      <c r="B30" t="s">
        <v>17</v>
      </c>
    </row>
  </sheetData>
  <mergeCells count="61">
    <mergeCell ref="B6:D6"/>
    <mergeCell ref="E6:N6"/>
    <mergeCell ref="A3:N3"/>
    <mergeCell ref="B5:D5"/>
    <mergeCell ref="E5:J5"/>
    <mergeCell ref="K5:L5"/>
    <mergeCell ref="M5:N5"/>
    <mergeCell ref="B7:D7"/>
    <mergeCell ref="E7:N7"/>
    <mergeCell ref="B8:D8"/>
    <mergeCell ref="E8:I8"/>
    <mergeCell ref="J8:K8"/>
    <mergeCell ref="L8:N8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16:F16"/>
    <mergeCell ref="G16:H16"/>
    <mergeCell ref="I16:J16"/>
    <mergeCell ref="K16:L16"/>
    <mergeCell ref="M16:N16"/>
    <mergeCell ref="B15:F15"/>
    <mergeCell ref="G15:H15"/>
    <mergeCell ref="I15:J15"/>
    <mergeCell ref="K15:L15"/>
    <mergeCell ref="M15:N15"/>
    <mergeCell ref="B18:F18"/>
    <mergeCell ref="G18:H18"/>
    <mergeCell ref="I18:J18"/>
    <mergeCell ref="K18:L18"/>
    <mergeCell ref="M18:N18"/>
    <mergeCell ref="B17:F17"/>
    <mergeCell ref="G17:H17"/>
    <mergeCell ref="I17:J17"/>
    <mergeCell ref="K17:L17"/>
    <mergeCell ref="M17:N17"/>
    <mergeCell ref="B20:F20"/>
    <mergeCell ref="G20:H20"/>
    <mergeCell ref="I20:J20"/>
    <mergeCell ref="K20:L20"/>
    <mergeCell ref="M20:N20"/>
    <mergeCell ref="B19:F19"/>
    <mergeCell ref="G19:H19"/>
    <mergeCell ref="I19:J19"/>
    <mergeCell ref="K19:L19"/>
    <mergeCell ref="M19:N19"/>
    <mergeCell ref="B24:E24"/>
    <mergeCell ref="K24:N24"/>
    <mergeCell ref="B21:F21"/>
    <mergeCell ref="G21:H21"/>
    <mergeCell ref="I21:J21"/>
    <mergeCell ref="K21:L21"/>
    <mergeCell ref="M21:N21"/>
    <mergeCell ref="B23:E23"/>
    <mergeCell ref="K23:N23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51"/>
  <sheetViews>
    <sheetView topLeftCell="A3" zoomScaleNormal="100" workbookViewId="0">
      <selection activeCell="E53" sqref="E53"/>
    </sheetView>
  </sheetViews>
  <sheetFormatPr defaultColWidth="11.33203125" defaultRowHeight="15.6" x14ac:dyDescent="0.3"/>
  <cols>
    <col min="1" max="1" width="6.109375" style="10" customWidth="1"/>
    <col min="2" max="2" width="16.109375" style="10" customWidth="1"/>
    <col min="3" max="3" width="33.6640625" style="10" customWidth="1"/>
    <col min="4" max="4" width="20" style="10" customWidth="1"/>
    <col min="5" max="5" width="23.33203125" style="10" customWidth="1"/>
    <col min="6" max="6" width="18" style="10" customWidth="1"/>
    <col min="7" max="7" width="33.88671875" style="10" customWidth="1"/>
    <col min="8" max="16384" width="11.33203125" style="10"/>
  </cols>
  <sheetData>
    <row r="1" spans="1:7" ht="65.099999999999994" customHeight="1" x14ac:dyDescent="0.3">
      <c r="A1" s="27" t="s">
        <v>36</v>
      </c>
      <c r="B1" s="27"/>
      <c r="C1" s="27"/>
      <c r="D1" s="27"/>
      <c r="E1" s="27"/>
      <c r="F1" s="27"/>
      <c r="G1" s="27"/>
    </row>
    <row r="2" spans="1:7" x14ac:dyDescent="0.3">
      <c r="A2" s="28" t="s">
        <v>1</v>
      </c>
      <c r="B2" s="28"/>
      <c r="C2" s="150" t="str">
        <f>[1]RubricaProducto!E5</f>
        <v>Ing. Sistemas Computacionales</v>
      </c>
      <c r="D2" s="150"/>
      <c r="E2" s="150"/>
      <c r="F2" s="150"/>
      <c r="G2" s="150"/>
    </row>
    <row r="3" spans="1:7" x14ac:dyDescent="0.3">
      <c r="A3" s="28" t="s">
        <v>4</v>
      </c>
      <c r="B3" s="28"/>
      <c r="C3" s="151">
        <f>[1]RubricaProducto!E6</f>
        <v>0</v>
      </c>
      <c r="D3" s="151"/>
      <c r="E3" s="151"/>
      <c r="F3" s="22" t="s">
        <v>34</v>
      </c>
      <c r="G3" s="26" t="s">
        <v>37</v>
      </c>
    </row>
    <row r="4" spans="1:7" x14ac:dyDescent="0.3">
      <c r="A4" s="28" t="s">
        <v>5</v>
      </c>
      <c r="B4" s="28"/>
      <c r="C4" s="152">
        <f>[1]RubricaProducto!E7</f>
        <v>0</v>
      </c>
      <c r="D4" s="152"/>
      <c r="E4" s="152"/>
      <c r="F4" s="152"/>
      <c r="G4" s="152"/>
    </row>
    <row r="5" spans="1:7" x14ac:dyDescent="0.3">
      <c r="A5" s="28" t="s">
        <v>3</v>
      </c>
      <c r="B5" s="28"/>
      <c r="C5" s="23">
        <f>[1]RubricaProducto!M5</f>
        <v>0</v>
      </c>
      <c r="D5" s="145" t="s">
        <v>38</v>
      </c>
      <c r="E5" s="145"/>
      <c r="F5" s="57">
        <f>[1]RubricaProducto!L8</f>
        <v>0</v>
      </c>
      <c r="G5" s="57"/>
    </row>
    <row r="6" spans="1:7" x14ac:dyDescent="0.3">
      <c r="A6" s="146" t="s">
        <v>39</v>
      </c>
      <c r="B6" s="146"/>
      <c r="C6" s="147">
        <f>[1]RubricaProducto!E8</f>
        <v>0</v>
      </c>
      <c r="D6" s="147"/>
      <c r="E6" s="147"/>
      <c r="F6" s="147"/>
      <c r="G6" s="147"/>
    </row>
    <row r="7" spans="1:7" ht="32.1" customHeight="1" x14ac:dyDescent="0.3">
      <c r="A7" s="130" t="s">
        <v>8</v>
      </c>
      <c r="B7" s="130"/>
      <c r="C7" s="148">
        <f>[1]RubricaProducto!E9</f>
        <v>0</v>
      </c>
      <c r="D7" s="149"/>
      <c r="E7" s="149"/>
      <c r="F7" s="149"/>
      <c r="G7" s="149"/>
    </row>
    <row r="8" spans="1:7" ht="32.1" customHeight="1" x14ac:dyDescent="0.3">
      <c r="A8" s="130" t="s">
        <v>9</v>
      </c>
      <c r="B8" s="130"/>
      <c r="C8" s="131">
        <f>[1]RubricaProducto!E10</f>
        <v>0</v>
      </c>
      <c r="D8" s="132"/>
      <c r="E8" s="132"/>
      <c r="F8" s="132"/>
      <c r="G8" s="132"/>
    </row>
    <row r="9" spans="1:7" ht="14.25" customHeight="1" x14ac:dyDescent="0.3">
      <c r="A9" s="133" t="s">
        <v>40</v>
      </c>
      <c r="B9" s="134"/>
      <c r="C9" s="139" t="str">
        <f>IF( ISBLANK([1]ReporteProductoIntegrador!C8), " ", [1]ReporteProductoIntegrador!C8)</f>
        <v xml:space="preserve"> </v>
      </c>
      <c r="D9" s="140"/>
      <c r="E9" s="140"/>
      <c r="F9" s="140"/>
      <c r="G9" s="140"/>
    </row>
    <row r="10" spans="1:7" ht="17.25" customHeight="1" x14ac:dyDescent="0.3">
      <c r="A10" s="135"/>
      <c r="B10" s="136"/>
      <c r="C10" s="141" t="str">
        <f>IF( ISBLANK([1]ReporteProductoIntegrador!C9), " ", [1]ReporteProductoIntegrador!C9)</f>
        <v xml:space="preserve"> </v>
      </c>
      <c r="D10" s="142"/>
      <c r="E10" s="142"/>
      <c r="F10" s="142"/>
      <c r="G10" s="142"/>
    </row>
    <row r="11" spans="1:7" ht="15.75" customHeight="1" x14ac:dyDescent="0.3">
      <c r="A11" s="135"/>
      <c r="B11" s="136"/>
      <c r="C11" s="141" t="str">
        <f>IF( ISBLANK([1]ReporteProductoIntegrador!C10), " ", [1]ReporteProductoIntegrador!C10)</f>
        <v xml:space="preserve"> </v>
      </c>
      <c r="D11" s="142"/>
      <c r="E11" s="142"/>
      <c r="F11" s="142"/>
      <c r="G11" s="142"/>
    </row>
    <row r="12" spans="1:7" ht="20.25" customHeight="1" x14ac:dyDescent="0.3">
      <c r="A12" s="137"/>
      <c r="B12" s="138"/>
      <c r="C12" s="143" t="str">
        <f>IF(ISBLANK([1]ReporteProductoIntegrador!C11)," ",[1]ReporteProductoIntegrador!C11)</f>
        <v xml:space="preserve"> </v>
      </c>
      <c r="D12" s="144"/>
      <c r="E12" s="144"/>
      <c r="F12" s="144"/>
      <c r="G12" s="144"/>
    </row>
    <row r="13" spans="1:7" ht="16.2" customHeight="1" x14ac:dyDescent="0.3">
      <c r="A13" s="124" t="s">
        <v>41</v>
      </c>
      <c r="B13" s="124"/>
      <c r="C13" s="125"/>
      <c r="D13" s="126" t="s">
        <v>42</v>
      </c>
      <c r="E13" s="127"/>
      <c r="F13" s="127"/>
      <c r="G13" s="127"/>
    </row>
    <row r="14" spans="1:7" ht="28.5" customHeight="1" x14ac:dyDescent="0.3">
      <c r="A14" s="124"/>
      <c r="B14" s="124"/>
      <c r="C14" s="124"/>
      <c r="D14" s="128" t="s">
        <v>12</v>
      </c>
      <c r="E14" s="128" t="s">
        <v>13</v>
      </c>
      <c r="F14" s="128" t="s">
        <v>14</v>
      </c>
      <c r="G14" s="128" t="s">
        <v>15</v>
      </c>
    </row>
    <row r="15" spans="1:7" x14ac:dyDescent="0.3">
      <c r="A15" s="124"/>
      <c r="B15" s="124"/>
      <c r="C15" s="124"/>
      <c r="D15" s="129"/>
      <c r="E15" s="129"/>
      <c r="F15" s="129"/>
      <c r="G15" s="129"/>
    </row>
    <row r="16" spans="1:7" ht="19.5" customHeight="1" x14ac:dyDescent="0.3">
      <c r="A16" s="118"/>
      <c r="B16" s="119"/>
      <c r="C16" s="120"/>
      <c r="D16" s="24"/>
      <c r="E16" s="24"/>
      <c r="F16" s="24"/>
      <c r="G16" s="24"/>
    </row>
    <row r="17" spans="1:7" ht="19.5" customHeight="1" x14ac:dyDescent="0.3">
      <c r="A17" s="118" t="str">
        <f>IF(ISBLANK([1]ListaAlumnos!C3)," ",[1]ListaAlumnos!C3)</f>
        <v/>
      </c>
      <c r="B17" s="119"/>
      <c r="C17" s="120"/>
      <c r="D17" s="24"/>
      <c r="E17" s="24"/>
      <c r="F17" s="24"/>
      <c r="G17" s="24"/>
    </row>
    <row r="18" spans="1:7" ht="19.5" customHeight="1" x14ac:dyDescent="0.3">
      <c r="A18" s="118" t="str">
        <f>IF(ISBLANK([1]ListaAlumnos!C4)," ",[1]ListaAlumnos!C4)</f>
        <v/>
      </c>
      <c r="B18" s="119"/>
      <c r="C18" s="120"/>
      <c r="D18" s="24"/>
      <c r="E18" s="24"/>
      <c r="F18" s="24"/>
      <c r="G18" s="24"/>
    </row>
    <row r="19" spans="1:7" ht="19.5" customHeight="1" x14ac:dyDescent="0.3">
      <c r="A19" s="118" t="str">
        <f>IF(ISBLANK([1]ListaAlumnos!C5)," ",[1]ListaAlumnos!C5)</f>
        <v/>
      </c>
      <c r="B19" s="119"/>
      <c r="C19" s="120"/>
      <c r="D19" s="24"/>
      <c r="E19" s="24"/>
      <c r="F19" s="24"/>
      <c r="G19" s="24"/>
    </row>
    <row r="20" spans="1:7" ht="19.5" customHeight="1" x14ac:dyDescent="0.3">
      <c r="A20" s="118" t="str">
        <f>IF(ISBLANK([1]ListaAlumnos!C6)," ",[1]ListaAlumnos!C6)</f>
        <v/>
      </c>
      <c r="B20" s="119"/>
      <c r="C20" s="120"/>
      <c r="D20" s="24"/>
      <c r="E20" s="24"/>
      <c r="F20" s="24"/>
      <c r="G20" s="24"/>
    </row>
    <row r="21" spans="1:7" ht="19.5" customHeight="1" x14ac:dyDescent="0.3">
      <c r="A21" s="118" t="str">
        <f>IF(ISBLANK([1]ListaAlumnos!C7)," ",[1]ListaAlumnos!C7)</f>
        <v/>
      </c>
      <c r="B21" s="119"/>
      <c r="C21" s="120"/>
      <c r="D21" s="24"/>
      <c r="E21" s="24"/>
      <c r="F21" s="24"/>
      <c r="G21" s="24"/>
    </row>
    <row r="22" spans="1:7" ht="19.5" customHeight="1" x14ac:dyDescent="0.3">
      <c r="A22" s="118" t="str">
        <f>IF(ISBLANK([1]ListaAlumnos!C8)," ",[1]ListaAlumnos!C8)</f>
        <v/>
      </c>
      <c r="B22" s="119"/>
      <c r="C22" s="120"/>
      <c r="D22" s="24"/>
      <c r="E22" s="24"/>
      <c r="F22" s="24"/>
      <c r="G22" s="24"/>
    </row>
    <row r="23" spans="1:7" ht="19.5" customHeight="1" x14ac:dyDescent="0.3">
      <c r="A23" s="118" t="str">
        <f>IF(ISBLANK([1]ListaAlumnos!C9)," ",[1]ListaAlumnos!C9)</f>
        <v/>
      </c>
      <c r="B23" s="119"/>
      <c r="C23" s="120"/>
      <c r="D23" s="24"/>
      <c r="E23" s="24"/>
      <c r="F23" s="24"/>
      <c r="G23" s="24"/>
    </row>
    <row r="24" spans="1:7" ht="19.5" customHeight="1" x14ac:dyDescent="0.3">
      <c r="A24" s="118" t="str">
        <f>IF(ISBLANK([1]ListaAlumnos!C10)," ",[1]ListaAlumnos!C10)</f>
        <v/>
      </c>
      <c r="B24" s="119"/>
      <c r="C24" s="120"/>
      <c r="D24" s="24"/>
      <c r="E24" s="24"/>
      <c r="F24" s="24"/>
      <c r="G24" s="24"/>
    </row>
    <row r="25" spans="1:7" ht="19.5" customHeight="1" x14ac:dyDescent="0.3">
      <c r="A25" s="118" t="str">
        <f>IF(ISBLANK([1]ListaAlumnos!C11)," ",[1]ListaAlumnos!C11)</f>
        <v/>
      </c>
      <c r="B25" s="119"/>
      <c r="C25" s="120"/>
      <c r="D25" s="24"/>
      <c r="E25" s="24"/>
      <c r="F25" s="24"/>
      <c r="G25" s="24"/>
    </row>
    <row r="26" spans="1:7" ht="19.5" customHeight="1" x14ac:dyDescent="0.3">
      <c r="A26" s="118" t="str">
        <f>IF(ISBLANK([1]ListaAlumnos!C12)," ",[1]ListaAlumnos!C12)</f>
        <v/>
      </c>
      <c r="B26" s="119"/>
      <c r="C26" s="120"/>
      <c r="D26" s="24"/>
      <c r="E26" s="24"/>
      <c r="F26" s="24"/>
      <c r="G26" s="24"/>
    </row>
    <row r="27" spans="1:7" ht="19.5" customHeight="1" x14ac:dyDescent="0.3">
      <c r="A27" s="118" t="str">
        <f>IF(ISBLANK([1]ListaAlumnos!C13)," ",[1]ListaAlumnos!C13)</f>
        <v/>
      </c>
      <c r="B27" s="119"/>
      <c r="C27" s="120"/>
      <c r="D27" s="24"/>
      <c r="E27" s="24"/>
      <c r="F27" s="24"/>
      <c r="G27" s="24"/>
    </row>
    <row r="28" spans="1:7" ht="19.5" customHeight="1" x14ac:dyDescent="0.3">
      <c r="A28" s="118" t="str">
        <f>IF(ISBLANK([1]ListaAlumnos!C14)," ",[1]ListaAlumnos!C14)</f>
        <v/>
      </c>
      <c r="B28" s="119"/>
      <c r="C28" s="120"/>
      <c r="D28" s="24"/>
      <c r="E28" s="24"/>
      <c r="F28" s="24"/>
      <c r="G28" s="24"/>
    </row>
    <row r="29" spans="1:7" ht="19.5" customHeight="1" x14ac:dyDescent="0.3">
      <c r="A29" s="118" t="str">
        <f>IF(ISBLANK([1]ListaAlumnos!C15)," ",[1]ListaAlumnos!C15)</f>
        <v/>
      </c>
      <c r="B29" s="119"/>
      <c r="C29" s="120"/>
      <c r="D29" s="24"/>
      <c r="E29" s="24"/>
      <c r="F29" s="24"/>
      <c r="G29" s="24"/>
    </row>
    <row r="30" spans="1:7" ht="19.5" customHeight="1" x14ac:dyDescent="0.3">
      <c r="A30" s="118" t="str">
        <f>IF(ISBLANK([1]ListaAlumnos!C16)," ",[1]ListaAlumnos!C16)</f>
        <v/>
      </c>
      <c r="B30" s="119"/>
      <c r="C30" s="120"/>
      <c r="D30" s="24"/>
      <c r="E30" s="24"/>
      <c r="F30" s="24"/>
      <c r="G30" s="24"/>
    </row>
    <row r="31" spans="1:7" ht="19.5" customHeight="1" x14ac:dyDescent="0.3">
      <c r="A31" s="118" t="str">
        <f>IF(ISBLANK([1]ListaAlumnos!C17)," ",[1]ListaAlumnos!C17)</f>
        <v/>
      </c>
      <c r="B31" s="119"/>
      <c r="C31" s="120"/>
      <c r="D31" s="24"/>
      <c r="E31" s="24"/>
      <c r="F31" s="24"/>
      <c r="G31" s="24"/>
    </row>
    <row r="32" spans="1:7" ht="19.5" customHeight="1" x14ac:dyDescent="0.3">
      <c r="A32" s="118" t="str">
        <f>IF(ISBLANK([1]ListaAlumnos!C18)," ",[1]ListaAlumnos!C18)</f>
        <v/>
      </c>
      <c r="B32" s="119"/>
      <c r="C32" s="120"/>
      <c r="D32" s="24"/>
      <c r="E32" s="24"/>
      <c r="F32" s="24"/>
      <c r="G32" s="24"/>
    </row>
    <row r="33" spans="1:7" ht="19.5" customHeight="1" x14ac:dyDescent="0.3">
      <c r="A33" s="118" t="str">
        <f>IF(ISBLANK([1]ListaAlumnos!C19)," ",[1]ListaAlumnos!C19)</f>
        <v/>
      </c>
      <c r="B33" s="119"/>
      <c r="C33" s="120"/>
      <c r="D33" s="24"/>
      <c r="E33" s="24"/>
      <c r="F33" s="24"/>
      <c r="G33" s="24"/>
    </row>
    <row r="34" spans="1:7" ht="19.5" customHeight="1" x14ac:dyDescent="0.3">
      <c r="A34" s="118" t="str">
        <f>IF(ISBLANK([1]ListaAlumnos!C20)," ",[1]ListaAlumnos!C20)</f>
        <v/>
      </c>
      <c r="B34" s="119"/>
      <c r="C34" s="120"/>
      <c r="D34" s="24"/>
      <c r="E34" s="24"/>
      <c r="F34" s="24"/>
      <c r="G34" s="24"/>
    </row>
    <row r="35" spans="1:7" ht="19.5" customHeight="1" x14ac:dyDescent="0.3">
      <c r="A35" s="118" t="str">
        <f>IF(ISBLANK([1]ListaAlumnos!C21)," ",[1]ListaAlumnos!C21)</f>
        <v/>
      </c>
      <c r="B35" s="119"/>
      <c r="C35" s="120"/>
      <c r="D35" s="24"/>
      <c r="E35" s="24"/>
      <c r="F35" s="24"/>
      <c r="G35" s="24"/>
    </row>
    <row r="36" spans="1:7" ht="19.5" customHeight="1" x14ac:dyDescent="0.3">
      <c r="A36" s="118" t="str">
        <f>IF(ISBLANK([1]ListaAlumnos!C22)," ",[1]ListaAlumnos!C22)</f>
        <v/>
      </c>
      <c r="B36" s="119"/>
      <c r="C36" s="120"/>
      <c r="D36" s="24"/>
      <c r="E36" s="24"/>
      <c r="F36" s="24"/>
      <c r="G36" s="24"/>
    </row>
    <row r="37" spans="1:7" ht="19.5" customHeight="1" x14ac:dyDescent="0.3">
      <c r="A37" s="118" t="str">
        <f>IF(ISBLANK([1]ListaAlumnos!C23)," ",[1]ListaAlumnos!C23)</f>
        <v/>
      </c>
      <c r="B37" s="119"/>
      <c r="C37" s="120"/>
      <c r="D37" s="24"/>
      <c r="E37" s="24"/>
      <c r="F37" s="24"/>
      <c r="G37" s="24"/>
    </row>
    <row r="38" spans="1:7" ht="19.5" customHeight="1" x14ac:dyDescent="0.3">
      <c r="A38" s="118" t="str">
        <f>IF(ISBLANK([1]ListaAlumnos!C24)," ",[1]ListaAlumnos!C24)</f>
        <v/>
      </c>
      <c r="B38" s="119"/>
      <c r="C38" s="120"/>
      <c r="D38" s="24"/>
      <c r="E38" s="24"/>
      <c r="F38" s="24"/>
      <c r="G38" s="24"/>
    </row>
    <row r="39" spans="1:7" ht="19.5" customHeight="1" x14ac:dyDescent="0.3">
      <c r="A39" s="118" t="str">
        <f>IF(ISBLANK([1]ListaAlumnos!C25)," ",[1]ListaAlumnos!C25)</f>
        <v/>
      </c>
      <c r="B39" s="119"/>
      <c r="C39" s="120"/>
      <c r="D39" s="24"/>
      <c r="E39" s="24"/>
      <c r="F39" s="24"/>
      <c r="G39" s="24"/>
    </row>
    <row r="40" spans="1:7" ht="19.5" customHeight="1" x14ac:dyDescent="0.3">
      <c r="A40" s="118" t="str">
        <f>IF(ISBLANK([1]ListaAlumnos!C26)," ",[1]ListaAlumnos!C26)</f>
        <v/>
      </c>
      <c r="B40" s="119"/>
      <c r="C40" s="120"/>
      <c r="D40" s="24"/>
      <c r="E40" s="24"/>
      <c r="F40" s="24"/>
      <c r="G40" s="24"/>
    </row>
    <row r="41" spans="1:7" ht="19.5" customHeight="1" x14ac:dyDescent="0.3">
      <c r="A41" s="118" t="str">
        <f>IF(ISBLANK([1]ListaAlumnos!C27)," ",[1]ListaAlumnos!C27)</f>
        <v/>
      </c>
      <c r="B41" s="119"/>
      <c r="C41" s="120"/>
      <c r="D41" s="24"/>
      <c r="E41" s="24"/>
      <c r="F41" s="24"/>
      <c r="G41" s="24"/>
    </row>
    <row r="42" spans="1:7" ht="19.5" customHeight="1" x14ac:dyDescent="0.3">
      <c r="A42" s="118" t="str">
        <f>IF(ISBLANK([1]ListaAlumnos!C28)," ",[1]ListaAlumnos!C28)</f>
        <v/>
      </c>
      <c r="B42" s="119"/>
      <c r="C42" s="120"/>
      <c r="D42" s="24"/>
      <c r="E42" s="24"/>
      <c r="F42" s="24"/>
      <c r="G42" s="24"/>
    </row>
    <row r="43" spans="1:7" ht="19.5" customHeight="1" x14ac:dyDescent="0.3">
      <c r="A43" s="118" t="str">
        <f>IF(ISBLANK([1]ListaAlumnos!C29)," ",[1]ListaAlumnos!C29)</f>
        <v/>
      </c>
      <c r="B43" s="119"/>
      <c r="C43" s="120"/>
      <c r="D43" s="24"/>
      <c r="E43" s="24"/>
      <c r="F43" s="24"/>
      <c r="G43" s="24"/>
    </row>
    <row r="44" spans="1:7" ht="19.5" customHeight="1" x14ac:dyDescent="0.3">
      <c r="A44" s="118" t="str">
        <f>IF(ISBLANK([1]ListaAlumnos!C30)," ",[1]ListaAlumnos!C30)</f>
        <v/>
      </c>
      <c r="B44" s="119"/>
      <c r="C44" s="120"/>
      <c r="D44" s="24"/>
      <c r="E44" s="24"/>
      <c r="F44" s="24"/>
      <c r="G44" s="24"/>
    </row>
    <row r="45" spans="1:7" ht="19.5" customHeight="1" x14ac:dyDescent="0.3">
      <c r="A45" s="118" t="str">
        <f>IF(ISBLANK([1]ListaAlumnos!C31)," ",[1]ListaAlumnos!C31)</f>
        <v/>
      </c>
      <c r="B45" s="119"/>
      <c r="C45" s="120"/>
      <c r="D45" s="24"/>
      <c r="E45" s="24"/>
      <c r="F45" s="24"/>
      <c r="G45" s="24"/>
    </row>
    <row r="46" spans="1:7" x14ac:dyDescent="0.3">
      <c r="A46" s="118" t="str">
        <f>IF(ISBLANK([1]ListaAlumnos!C32)," ",[1]ListaAlumnos!C32)</f>
        <v/>
      </c>
      <c r="B46" s="119"/>
      <c r="C46" s="120"/>
      <c r="D46" s="24"/>
      <c r="E46" s="24"/>
      <c r="F46" s="24"/>
      <c r="G46" s="24"/>
    </row>
    <row r="47" spans="1:7" ht="19.5" customHeight="1" x14ac:dyDescent="0.3">
      <c r="A47" s="118" t="str">
        <f>IF(ISBLANK([1]ListaAlumnos!C33)," ",[1]ListaAlumnos!C33)</f>
        <v/>
      </c>
      <c r="B47" s="119"/>
      <c r="C47" s="120"/>
      <c r="D47" s="24"/>
      <c r="E47" s="24"/>
      <c r="F47" s="24"/>
      <c r="G47" s="24"/>
    </row>
    <row r="48" spans="1:7" ht="19.5" customHeight="1" x14ac:dyDescent="0.3">
      <c r="A48" s="118" t="str">
        <f>IF(ISBLANK([1]ListaAlumnos!C34)," ",[1]ListaAlumnos!C34)</f>
        <v/>
      </c>
      <c r="B48" s="119"/>
      <c r="C48" s="120"/>
      <c r="D48" s="24"/>
      <c r="E48" s="24"/>
      <c r="F48" s="24"/>
      <c r="G48" s="24"/>
    </row>
    <row r="49" spans="1:7" ht="19.5" customHeight="1" x14ac:dyDescent="0.3">
      <c r="A49" s="118" t="str">
        <f>IF(ISBLANK([1]ListaAlumnos!C35)," ",[1]ListaAlumnos!C35)</f>
        <v/>
      </c>
      <c r="B49" s="119"/>
      <c r="C49" s="120"/>
      <c r="D49" s="24"/>
      <c r="E49" s="24"/>
      <c r="F49" s="24"/>
      <c r="G49" s="24"/>
    </row>
    <row r="50" spans="1:7" ht="19.5" customHeight="1" x14ac:dyDescent="0.3">
      <c r="A50" s="118" t="str">
        <f>IF(ISBLANK([1]ListaAlumnos!C36)," ",[1]ListaAlumnos!C36)</f>
        <v/>
      </c>
      <c r="B50" s="119"/>
      <c r="C50" s="120"/>
      <c r="D50" s="24"/>
      <c r="E50" s="24"/>
      <c r="F50" s="24"/>
      <c r="G50" s="24"/>
    </row>
    <row r="51" spans="1:7" x14ac:dyDescent="0.3">
      <c r="A51" s="121" t="s">
        <v>43</v>
      </c>
      <c r="B51" s="122"/>
      <c r="C51" s="122"/>
      <c r="D51" s="122"/>
      <c r="E51" s="122"/>
      <c r="F51" s="123"/>
      <c r="G51" s="25" t="e">
        <f>AVERAGEIF(D16:G50,"&lt;&gt;""", D16:G50)</f>
        <v>#DIV/0!</v>
      </c>
    </row>
  </sheetData>
  <mergeCells count="63">
    <mergeCell ref="A7:B7"/>
    <mergeCell ref="C7:G7"/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8:B8"/>
    <mergeCell ref="C8:G8"/>
    <mergeCell ref="A9:B12"/>
    <mergeCell ref="C9:G9"/>
    <mergeCell ref="C10:G10"/>
    <mergeCell ref="C11:G11"/>
    <mergeCell ref="C12:G12"/>
    <mergeCell ref="A13:C15"/>
    <mergeCell ref="D13:G13"/>
    <mergeCell ref="D14:D15"/>
    <mergeCell ref="E14:E15"/>
    <mergeCell ref="F14:F15"/>
    <mergeCell ref="G14:G15"/>
    <mergeCell ref="A27:C27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39:C39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51:F51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</mergeCells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A0D64-B9FC-4934-8E06-9564DADC54C8}">
  <ds:schemaRefs>
    <ds:schemaRef ds:uri="http://schemas.microsoft.com/office/2006/metadata/properties"/>
    <ds:schemaRef ds:uri="http://schemas.microsoft.com/office/infopath/2007/PartnerControls"/>
    <ds:schemaRef ds:uri="2f331a65-6f06-4401-8a0b-7754c07eb3f3"/>
    <ds:schemaRef ds:uri="82a1de80-3b4b-45ba-bc8c-2e04ac9ab525"/>
  </ds:schemaRefs>
</ds:datastoreItem>
</file>

<file path=customXml/itemProps2.xml><?xml version="1.0" encoding="utf-8"?>
<ds:datastoreItem xmlns:ds="http://schemas.openxmlformats.org/officeDocument/2006/customXml" ds:itemID="{E13F440A-471D-4B2C-8539-70DDE68A3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47B7CC-0656-4D0A-8B0F-939797A5A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31a65-6f06-4401-8a0b-7754c07eb3f3"/>
    <ds:schemaRef ds:uri="82a1de80-3b4b-45ba-bc8c-2e04ac9ab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Navarro Eduardo</dc:creator>
  <cp:lastModifiedBy>Constantino Lemus Jared Said</cp:lastModifiedBy>
  <dcterms:created xsi:type="dcterms:W3CDTF">2026-03-27T19:16:16Z</dcterms:created>
  <dcterms:modified xsi:type="dcterms:W3CDTF">2026-03-27T23:47:36Z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